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a5248e91ed75a35/Desktop/Documents/IPB/SEMESTER_4/ANREG/"/>
    </mc:Choice>
  </mc:AlternateContent>
  <xr:revisionPtr revIDLastSave="19" documentId="13_ncr:1_{90D8E281-6FB0-4B35-9972-EFFA98048043}" xr6:coauthVersionLast="47" xr6:coauthVersionMax="47" xr10:uidLastSave="{1DC77C5D-F279-4580-8DB0-F4A5E8BB1479}"/>
  <bookViews>
    <workbookView xWindow="-110" yWindow="-110" windowWidth="19420" windowHeight="10300" xr2:uid="{00000000-000D-0000-FFFF-FFFF00000000}"/>
  </bookViews>
  <sheets>
    <sheet name="Data analisis" sheetId="3" r:id="rId1"/>
    <sheet name="DATA" sheetId="1" r:id="rId2"/>
    <sheet name="PANDUAN_SUMB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H47" i="1"/>
  <c r="G47" i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</calcChain>
</file>

<file path=xl/sharedStrings.xml><?xml version="1.0" encoding="utf-8"?>
<sst xmlns="http://schemas.openxmlformats.org/spreadsheetml/2006/main" count="129" uniqueCount="84">
  <si>
    <t>DATA PENELITIAN: DETERMINAN KEPEMILIKAN RUMAH DI 38 PROVINSI INDONESIA (2025)</t>
  </si>
  <si>
    <t>Sumber: BPS — Statistik Kesejahteraan Rakyat 2024 | IKK 2024 | Sakernas 2024 | IPM 2024 | PDRB 2024 | Susenas 2024</t>
  </si>
  <si>
    <t>No</t>
  </si>
  <si>
    <t>Provinsi</t>
  </si>
  <si>
    <t>Y</t>
  </si>
  <si>
    <t>X1</t>
  </si>
  <si>
    <t>X2</t>
  </si>
  <si>
    <t>X3</t>
  </si>
  <si>
    <t>X4</t>
  </si>
  <si>
    <t>X5</t>
  </si>
  <si>
    <t>X6</t>
  </si>
  <si>
    <t>% Kepemilikan
Rumah (%)</t>
  </si>
  <si>
    <t>TPT
(%)</t>
  </si>
  <si>
    <t>% Urbanisasi
(%)</t>
  </si>
  <si>
    <t>Gini Ratio</t>
  </si>
  <si>
    <t>Rata-rata
Lama Sekolah
(Tahun)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</si>
  <si>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</si>
  <si>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</si>
  <si>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</si>
  <si>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</si>
  <si>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</si>
  <si>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</si>
  <si>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</si>
  <si>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</si>
  <si>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</si>
  <si>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</si>
  <si>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</si>
  <si>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</si>
  <si>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</si>
  <si>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</si>
  <si>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</si>
  <si>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</si>
  <si>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</si>
  <si>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</si>
  <si>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</si>
  <si>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</si>
  <si>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</si>
  <si>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</si>
  <si>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</si>
  <si>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</si>
  <si>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</si>
  <si>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</si>
  <si>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</si>
  <si>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</si>
  <si>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</si>
  <si>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</si>
  <si>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</si>
  <si>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</si>
  <si>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</si>
  <si>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</si>
  <si>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</si>
  <si>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</si>
  <si>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</si>
  <si>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</si>
  <si>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MIN</t>
  </si>
  <si>
    <t>MAX</t>
  </si>
  <si>
    <t>RATA-RATA</t>
  </si>
  <si>
    <t>STD. DEV.</t>
  </si>
  <si>
    <t>PANDUAN PENGISIAN DATA — LINK LANGSUNG BPS</t>
  </si>
  <si>
    <t>Variabel</t>
  </si>
  <si>
    <t>Nama</t>
  </si>
  <si>
    <t>Link Sumber Data</t>
  </si>
  <si>
    <t>% Kepemilikan Rumah</t>
  </si>
  <si>
    <t>https://www.bps.go.id/id/statistics-table/2/ODQ5IzI=/persentase-rumah-tangga-menurut-provinsi-dan-status-kepemilikan-bangunan-tempat-tinggal-yang-ditempati-milik-sendiri.html</t>
  </si>
  <si>
    <t>Tingkat Pengangguran Terbuka (%)</t>
  </si>
  <si>
    <t>https://www.bps.go.id/id/statistics-table/2/NTQzIzI=/tingkat-pengangguran-terbuka-menurut-provinsi.html</t>
  </si>
  <si>
    <t>% Urbanisasi</t>
  </si>
  <si>
    <t>https://www.bps.go.id/id/statistics-table/1/MTI3NiMx/persentase-penduduk-daerah-perkotaan-hasil-proyeksi-penduduk-menurut-provinsi-2015---2035.html</t>
  </si>
  <si>
    <t>https://www.bps.go.id/id/statistics-table/2/OTgjMg==/gini-ratio-menurut-provinsi-dan-daerah.html</t>
  </si>
  <si>
    <t>Rata-rata Lama Sekolah (Tahun)</t>
  </si>
  <si>
    <t>https://www.bps.go.id/assets/statistics-table/2/MTQyOSMy/rata-rata-lama-sekolah-penduduk-umur-15-tahun-ke-atas-menurut-provinsi.html</t>
  </si>
  <si>
    <t>PDRB harga berlaku
(Juta Rp)</t>
  </si>
  <si>
    <t>Consumer Price Index</t>
  </si>
  <si>
    <t>https://www.bps.go.id/en/statistics-table/2/MjI2MSMy/indeks-harga-konsumen-38-provinsi--2022-100-.html</t>
  </si>
  <si>
    <t>https://share.google/oD7KeXDvCaHwkKw4L</t>
  </si>
  <si>
    <t>Indeks harga konsumen</t>
  </si>
  <si>
    <t>PDRB harga berlaku (Juta Rp)</t>
  </si>
  <si>
    <t>TPT</t>
  </si>
  <si>
    <t>Kepemilikan_Rumah</t>
  </si>
  <si>
    <t>PDRB_harga_berlaku</t>
  </si>
  <si>
    <t>Consumer_Price_Index</t>
  </si>
  <si>
    <t xml:space="preserve">Urbanisasi
</t>
  </si>
  <si>
    <t>Gini_Ratio</t>
  </si>
  <si>
    <t>Rata-rata_Lama_Sekolah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</si>
</sst>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i/>
      <sz val="9"/>
      <color rgb="FF1F3864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9"/>
      <color theme="1"/>
      <name val="Arial"/>
    </font>
    <font>
      <sz val="9"/>
      <color rgb="FF000000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3"/>
    <xf numFmtId="0" fontId="11" fillId="0" borderId="3"/>
    <xf numFmtId="0" fontId="13" fillId="0" borderId="0" applyNumberFormat="0" applyFill="0" applyBorder="0" applyAlignment="0" applyProtection="0"/>
  </cellStyleXfs>
  <cellXfs count="3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2" fontId="5" fillId="7" borderId="4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left" vertical="center" wrapText="1"/>
    </xf>
    <xf numFmtId="2" fontId="6" fillId="0" borderId="4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6" borderId="4" xfId="1" applyFont="1" applyFill="1" applyBorder="1" applyAlignment="1">
      <alignment horizontal="left" vertical="center" wrapText="1"/>
    </xf>
    <xf numFmtId="0" fontId="6" fillId="0" borderId="4" xfId="1" applyFont="1" applyBorder="1" applyAlignment="1">
      <alignment horizontal="right" vertical="center" wrapText="1"/>
    </xf>
    <xf numFmtId="0" fontId="6" fillId="0" borderId="4" xfId="1" applyFont="1" applyBorder="1" applyAlignment="1">
      <alignment horizontal="right" vertical="center"/>
    </xf>
    <xf numFmtId="0" fontId="11" fillId="0" borderId="3" xfId="2"/>
    <xf numFmtId="0" fontId="12" fillId="0" borderId="3" xfId="2" applyFont="1"/>
    <xf numFmtId="0" fontId="12" fillId="0" borderId="0" xfId="0" applyFont="1"/>
    <xf numFmtId="0" fontId="4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2" fontId="6" fillId="0" borderId="5" xfId="0" applyNumberFormat="1" applyFont="1" applyBorder="1" applyAlignment="1">
      <alignment vertical="center" wrapText="1"/>
    </xf>
    <xf numFmtId="0" fontId="12" fillId="0" borderId="5" xfId="2" applyFont="1" applyBorder="1"/>
    <xf numFmtId="0" fontId="0" fillId="0" borderId="5" xfId="0" applyBorder="1"/>
    <xf numFmtId="0" fontId="6" fillId="0" borderId="5" xfId="0" applyFont="1" applyBorder="1" applyAlignment="1">
      <alignment vertical="center" wrapText="1"/>
    </xf>
    <xf numFmtId="0" fontId="6" fillId="0" borderId="5" xfId="0" applyFont="1" applyBorder="1"/>
    <xf numFmtId="0" fontId="13" fillId="6" borderId="4" xfId="3" applyFill="1" applyBorder="1" applyAlignment="1">
      <alignment horizontal="left" vertical="center" wrapText="1"/>
    </xf>
    <xf numFmtId="0" fontId="13" fillId="5" borderId="4" xfId="3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DDD855CD-1EDB-4423-8F60-8A2FE00ECB45}"/>
    <cellStyle name="Normal 3" xfId="2" xr:uid="{5DF029C8-F038-4041-B79D-00BF1B3B9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en/statistics-table/2/MjI2MSMy/indeks-harga-konsumen-38-provinsi--2022-100-.html" TargetMode="External"/><Relationship Id="rId7" Type="http://schemas.openxmlformats.org/officeDocument/2006/relationships/hyperlink" Target="https://www.bps.go.id/assets/statistics-table/2/MTQyOSMy/rata-rata-lama-sekolah-penduduk-umur-15-tahun-ke-atas-menurut-provinsi.html" TargetMode="External"/><Relationship Id="rId2" Type="http://schemas.openxmlformats.org/officeDocument/2006/relationships/hyperlink" Target="https://share.google/oD7KeXDvCaHwkKw4L" TargetMode="External"/><Relationship Id="rId1" Type="http://schemas.openxmlformats.org/officeDocument/2006/relationships/hyperlink" Target="https://www.bps.go.id/id/statistics-table/2/ODQ5IzI=/persentase-rumah-tangga-menurut-provinsi-dan-status-kepemilikan-bangunan-tempat-tinggal-yang-ditempati-milik-sendiri.html" TargetMode="External"/><Relationship Id="rId6" Type="http://schemas.openxmlformats.org/officeDocument/2006/relationships/hyperlink" Target="https://www.bps.go.id/id/statistics-table/2/OTgjMg==/gini-ratio-menurut-provinsi-dan-daerah.html" TargetMode="External"/><Relationship Id="rId5" Type="http://schemas.openxmlformats.org/officeDocument/2006/relationships/hyperlink" Target="https://www.bps.go.id/id/statistics-table/1/MTI3NiMx/persentase-penduduk-daerah-perkotaan-hasil-proyeksi-penduduk-menurut-provinsi-2015---2035.html" TargetMode="External"/><Relationship Id="rId4" Type="http://schemas.openxmlformats.org/officeDocument/2006/relationships/hyperlink" Target="https://www.bps.go.id/id/statistics-table/2/NTQzIzI=/tingkat-pengangguran-terbuka-menurut-provins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3BF6-BF43-4A9F-B336-7335985B8CBC}">
  <dimension ref="A1:K40"/>
  <sheetViews>
    <sheetView tabSelected="1" workbookViewId="0">
      <selection activeCell="H1" sqref="H1"/>
    </sheetView>
  </sheetViews>
  <sheetFormatPr defaultRowHeight="14.5"/>
  <cols>
    <col min="2" max="2" width="13.90625" customWidth="1"/>
    <col min="3" max="3" width="14.453125" customWidth="1"/>
    <col min="4" max="4" width="13.6328125" customWidth="1"/>
    <col min="5" max="5" width="9.36328125" customWidth="1"/>
    <col min="6" max="6" width="13.90625" customWidth="1"/>
    <col min="8" max="8" width="20" customWidth="1"/>
    <col min="10" max="10" width="21.08984375" customWidth="1"/>
  </cols>
  <sheetData>
    <row r="1" spans="1:11" ht="23">
      <c r="A1" s="8" t="s">
        <v>3</v>
      </c>
      <c r="B1" s="8" t="s">
        <v>78</v>
      </c>
      <c r="C1" s="8" t="s">
        <v>79</v>
      </c>
      <c r="D1" s="19" t="s">
        <v>80</v>
      </c>
      <c r="E1" s="19" t="s">
        <v>77</v>
      </c>
      <c r="F1" s="19" t="s">
        <v>81</v>
      </c>
      <c r="G1" s="19" t="s">
        <v>82</v>
      </c>
      <c r="H1" s="19" t="s">
        <v>83</v>
      </c>
    </row>
    <row r="2" spans="1:11" ht="15.5">
      <c r="A2" s="9" t="s">
        <v>16</v>
      </c>
      <c r="B2" s="10">
        <v>85.21</v>
      </c>
      <c r="C2" s="16">
        <v>257502.43</v>
      </c>
      <c r="D2">
        <v>109.85166666666669</v>
      </c>
      <c r="E2" s="11">
        <v>5.64</v>
      </c>
      <c r="F2" s="14">
        <v>36.200000000000003</v>
      </c>
      <c r="G2" s="14">
        <v>0.27400000000000002</v>
      </c>
      <c r="H2" s="11">
        <v>10.42</v>
      </c>
      <c r="J2" s="15"/>
      <c r="K2" s="15"/>
    </row>
    <row r="3" spans="1:11" ht="23">
      <c r="A3" s="12" t="s">
        <v>17</v>
      </c>
      <c r="B3" s="10">
        <v>73.16</v>
      </c>
      <c r="C3" s="16">
        <v>1236193.57</v>
      </c>
      <c r="D3">
        <v>109.20666666666666</v>
      </c>
      <c r="E3" s="11">
        <v>5.32</v>
      </c>
      <c r="F3" s="14">
        <v>60.1</v>
      </c>
      <c r="G3" s="14">
        <v>0.28299999999999997</v>
      </c>
      <c r="H3" s="11">
        <v>10.29</v>
      </c>
      <c r="J3" s="15"/>
      <c r="K3" s="15"/>
    </row>
    <row r="4" spans="1:11" ht="23">
      <c r="A4" s="9" t="s">
        <v>18</v>
      </c>
      <c r="B4" s="10">
        <v>73.02</v>
      </c>
      <c r="C4" s="16">
        <v>352189.4</v>
      </c>
      <c r="D4">
        <v>109.33416666666666</v>
      </c>
      <c r="E4" s="11">
        <v>5.62</v>
      </c>
      <c r="F4" s="14">
        <v>54.6</v>
      </c>
      <c r="G4" s="14">
        <v>0.28000000000000003</v>
      </c>
      <c r="H4" s="11">
        <v>10.029999999999999</v>
      </c>
      <c r="J4" s="15"/>
      <c r="K4" s="15"/>
    </row>
    <row r="5" spans="1:11" ht="15.5">
      <c r="A5" s="12" t="s">
        <v>19</v>
      </c>
      <c r="B5" s="10">
        <v>78.69</v>
      </c>
      <c r="C5" s="16">
        <v>1201383.76</v>
      </c>
      <c r="D5">
        <v>109.32999999999998</v>
      </c>
      <c r="E5" s="11">
        <v>4.16</v>
      </c>
      <c r="F5" s="14">
        <v>40.700000000000003</v>
      </c>
      <c r="G5" s="14">
        <v>0.30399999999999999</v>
      </c>
      <c r="H5" s="11">
        <v>9.8000000000000007</v>
      </c>
      <c r="J5" s="15"/>
      <c r="K5" s="15"/>
    </row>
    <row r="6" spans="1:11" ht="15.5">
      <c r="A6" s="9" t="s">
        <v>20</v>
      </c>
      <c r="B6" s="10">
        <v>89.38</v>
      </c>
      <c r="C6" s="16">
        <v>349662.6</v>
      </c>
      <c r="D6">
        <v>108.49833333333332</v>
      </c>
      <c r="E6" s="11">
        <v>4.26</v>
      </c>
      <c r="F6" s="14">
        <v>34.799999999999997</v>
      </c>
      <c r="G6" s="14">
        <v>0.29099999999999998</v>
      </c>
      <c r="H6" s="11">
        <v>9.32</v>
      </c>
      <c r="J6" s="15"/>
      <c r="K6" s="15"/>
    </row>
    <row r="7" spans="1:11" ht="23">
      <c r="A7" s="12" t="s">
        <v>21</v>
      </c>
      <c r="B7" s="10">
        <v>85.93</v>
      </c>
      <c r="C7" s="16">
        <v>720205.22</v>
      </c>
      <c r="D7">
        <v>108.73916666666666</v>
      </c>
      <c r="E7" s="11">
        <v>3.69</v>
      </c>
      <c r="F7" s="14">
        <v>38.200000000000003</v>
      </c>
      <c r="G7" s="14">
        <v>0.29799999999999999</v>
      </c>
      <c r="H7" s="11">
        <v>9.2799999999999994</v>
      </c>
      <c r="J7" s="15"/>
      <c r="K7" s="15"/>
    </row>
    <row r="8" spans="1:11" ht="15.5">
      <c r="A8" s="9" t="s">
        <v>22</v>
      </c>
      <c r="B8" s="10">
        <v>90.49</v>
      </c>
      <c r="C8" s="16">
        <v>111829.42</v>
      </c>
      <c r="D8">
        <v>107.12333333333335</v>
      </c>
      <c r="E8" s="11">
        <v>3.41</v>
      </c>
      <c r="F8" s="14">
        <v>33.5</v>
      </c>
      <c r="G8" s="14">
        <v>0.33900000000000002</v>
      </c>
      <c r="H8" s="11">
        <v>9.7100000000000009</v>
      </c>
      <c r="J8" s="15"/>
      <c r="K8" s="15"/>
    </row>
    <row r="9" spans="1:11" ht="15.5">
      <c r="A9" s="12" t="s">
        <v>23</v>
      </c>
      <c r="B9" s="10">
        <v>92.89</v>
      </c>
      <c r="C9" s="16">
        <v>523846.54</v>
      </c>
      <c r="D9">
        <v>108.99833333333335</v>
      </c>
      <c r="E9" s="11">
        <v>4.21</v>
      </c>
      <c r="F9" s="14">
        <v>34.6</v>
      </c>
      <c r="G9" s="14">
        <v>0.28699999999999998</v>
      </c>
      <c r="H9" s="11">
        <v>9</v>
      </c>
      <c r="J9" s="15"/>
      <c r="K9" s="15"/>
    </row>
    <row r="10" spans="1:11" ht="34.5">
      <c r="A10" s="9" t="s">
        <v>24</v>
      </c>
      <c r="B10" s="10">
        <v>89.73</v>
      </c>
      <c r="C10" s="16">
        <v>116811.75</v>
      </c>
      <c r="D10">
        <v>105.3625</v>
      </c>
      <c r="E10" s="11">
        <v>4.45</v>
      </c>
      <c r="F10" s="14">
        <v>59.7</v>
      </c>
      <c r="G10" s="14">
        <v>0.214</v>
      </c>
      <c r="H10" s="11">
        <v>9.09</v>
      </c>
      <c r="J10" s="15"/>
      <c r="K10" s="15"/>
    </row>
    <row r="11" spans="1:11" ht="23">
      <c r="A11" s="12" t="s">
        <v>25</v>
      </c>
      <c r="B11" s="10">
        <v>75.400000000000006</v>
      </c>
      <c r="C11" s="16">
        <v>381729.88</v>
      </c>
      <c r="D11">
        <v>108.75499999999998</v>
      </c>
      <c r="E11" s="11">
        <v>6.45</v>
      </c>
      <c r="F11" s="14">
        <v>83.8</v>
      </c>
      <c r="G11" s="14">
        <v>0.38500000000000001</v>
      </c>
      <c r="H11" s="11">
        <v>10.78</v>
      </c>
      <c r="J11" s="15"/>
      <c r="K11" s="15"/>
    </row>
    <row r="12" spans="1:11" ht="23">
      <c r="A12" s="9" t="s">
        <v>26</v>
      </c>
      <c r="B12" s="10">
        <v>54.54</v>
      </c>
      <c r="C12" s="16">
        <v>3926153.3</v>
      </c>
      <c r="D12">
        <v>106.85333333333331</v>
      </c>
      <c r="E12" s="11">
        <v>6.05</v>
      </c>
      <c r="F12" s="14">
        <v>100</v>
      </c>
      <c r="G12" s="14">
        <v>0.42299999999999999</v>
      </c>
      <c r="H12" s="11">
        <v>11.58</v>
      </c>
      <c r="J12" s="15"/>
      <c r="K12" s="15"/>
    </row>
    <row r="13" spans="1:11" ht="23">
      <c r="A13" s="12" t="s">
        <v>27</v>
      </c>
      <c r="B13" s="10">
        <v>83.54</v>
      </c>
      <c r="C13" s="16">
        <v>3038667.95</v>
      </c>
      <c r="D13">
        <v>108.51</v>
      </c>
      <c r="E13" s="11">
        <v>6.77</v>
      </c>
      <c r="F13" s="14">
        <v>83.1</v>
      </c>
      <c r="G13" s="14">
        <v>0.39700000000000002</v>
      </c>
      <c r="H13" s="11">
        <v>9.4600000000000009</v>
      </c>
      <c r="J13" s="15"/>
      <c r="K13" s="15"/>
    </row>
    <row r="14" spans="1:11" ht="23">
      <c r="A14" s="9" t="s">
        <v>28</v>
      </c>
      <c r="B14" s="10">
        <v>90.97</v>
      </c>
      <c r="C14" s="16">
        <v>1943187.66</v>
      </c>
      <c r="D14">
        <v>108.30500000000001</v>
      </c>
      <c r="E14" s="11">
        <v>4.66</v>
      </c>
      <c r="F14" s="14">
        <v>54.3</v>
      </c>
      <c r="G14" s="14">
        <v>0.35</v>
      </c>
      <c r="H14" s="11">
        <v>8.6199999999999992</v>
      </c>
      <c r="J14" s="15"/>
      <c r="K14" s="15"/>
    </row>
    <row r="15" spans="1:11" ht="34.5">
      <c r="A15" s="12" t="s">
        <v>29</v>
      </c>
      <c r="B15" s="10">
        <v>83.54</v>
      </c>
      <c r="C15" s="16">
        <v>208133.8</v>
      </c>
      <c r="D15">
        <v>108.07250000000001</v>
      </c>
      <c r="E15" s="11">
        <v>3.46</v>
      </c>
      <c r="F15" s="14">
        <v>78</v>
      </c>
      <c r="G15" s="14">
        <v>0.41399999999999998</v>
      </c>
      <c r="H15" s="11">
        <v>10.58</v>
      </c>
      <c r="J15" s="15"/>
      <c r="K15" s="15"/>
    </row>
    <row r="16" spans="1:11" ht="23">
      <c r="A16" s="9" t="s">
        <v>30</v>
      </c>
      <c r="B16" s="10">
        <v>90.86</v>
      </c>
      <c r="C16" s="16">
        <v>3403166.85</v>
      </c>
      <c r="D16">
        <v>108.33999999999999</v>
      </c>
      <c r="E16" s="11">
        <v>3.88</v>
      </c>
      <c r="F16" s="14">
        <v>58.6</v>
      </c>
      <c r="G16" s="14">
        <v>0.35899999999999999</v>
      </c>
      <c r="H16" s="11">
        <v>8.81</v>
      </c>
      <c r="J16" s="15"/>
      <c r="K16" s="15"/>
    </row>
    <row r="17" spans="1:11" ht="15.5">
      <c r="A17" s="12" t="s">
        <v>31</v>
      </c>
      <c r="B17" s="10">
        <v>86.67</v>
      </c>
      <c r="C17" s="16">
        <v>936203.98</v>
      </c>
      <c r="D17">
        <v>107.64749999999999</v>
      </c>
      <c r="E17" s="11">
        <v>6.69</v>
      </c>
      <c r="F17" s="14">
        <v>73.7</v>
      </c>
      <c r="G17" s="14">
        <v>0.312</v>
      </c>
      <c r="H17" s="11">
        <v>9.82</v>
      </c>
      <c r="J17" s="15"/>
      <c r="K17" s="15"/>
    </row>
    <row r="18" spans="1:11" ht="15.5">
      <c r="A18" s="9" t="s">
        <v>32</v>
      </c>
      <c r="B18" s="10">
        <v>83.73</v>
      </c>
      <c r="C18" s="16">
        <v>324148.94</v>
      </c>
      <c r="D18">
        <v>109.42416666666666</v>
      </c>
      <c r="E18" s="11">
        <v>1.49</v>
      </c>
      <c r="F18" s="14">
        <v>74.3</v>
      </c>
      <c r="G18" s="14">
        <v>0.33300000000000002</v>
      </c>
      <c r="H18" s="11">
        <v>10.07</v>
      </c>
      <c r="J18" s="15"/>
      <c r="K18" s="15"/>
    </row>
    <row r="19" spans="1:11" ht="34.5">
      <c r="A19" s="12" t="s">
        <v>33</v>
      </c>
      <c r="B19" s="10">
        <v>91.97</v>
      </c>
      <c r="C19" s="16">
        <v>192951.54</v>
      </c>
      <c r="D19">
        <v>108.395</v>
      </c>
      <c r="E19" s="11">
        <v>3.06</v>
      </c>
      <c r="F19" s="14">
        <v>53.6</v>
      </c>
      <c r="G19" s="14">
        <v>0.36399999999999999</v>
      </c>
      <c r="H19" s="11">
        <v>8.8699999999999992</v>
      </c>
      <c r="J19" s="15"/>
      <c r="K19" s="15"/>
    </row>
    <row r="20" spans="1:11" ht="34.5">
      <c r="A20" s="9" t="s">
        <v>34</v>
      </c>
      <c r="B20" s="10">
        <v>91.72</v>
      </c>
      <c r="C20" s="16">
        <v>148373.38</v>
      </c>
      <c r="D20">
        <v>107.66916666666667</v>
      </c>
      <c r="E20" s="11">
        <v>3.31</v>
      </c>
      <c r="F20" s="14">
        <v>27.3</v>
      </c>
      <c r="G20" s="14">
        <v>0.32200000000000001</v>
      </c>
      <c r="H20" s="11">
        <v>8.8800000000000008</v>
      </c>
      <c r="J20" s="15"/>
      <c r="K20" s="15"/>
    </row>
    <row r="21" spans="1:11" ht="23">
      <c r="A21" s="12" t="s">
        <v>35</v>
      </c>
      <c r="B21" s="10">
        <v>92.28</v>
      </c>
      <c r="C21" s="16">
        <v>328569.51</v>
      </c>
      <c r="D21">
        <v>107.55166666666666</v>
      </c>
      <c r="E21" s="11">
        <v>4.82</v>
      </c>
      <c r="F21" s="14">
        <v>39.799999999999997</v>
      </c>
      <c r="G21" s="14">
        <v>0.308</v>
      </c>
      <c r="H21" s="11">
        <v>8.5399999999999991</v>
      </c>
      <c r="J21" s="15"/>
      <c r="K21" s="15"/>
    </row>
    <row r="22" spans="1:11" ht="23">
      <c r="A22" s="9" t="s">
        <v>36</v>
      </c>
      <c r="B22" s="10">
        <v>83.36</v>
      </c>
      <c r="C22" s="16">
        <v>241055.7</v>
      </c>
      <c r="D22">
        <v>107.81083333333333</v>
      </c>
      <c r="E22" s="11">
        <v>3.97</v>
      </c>
      <c r="F22" s="14">
        <v>44.1</v>
      </c>
      <c r="G22" s="14">
        <v>0.28399999999999997</v>
      </c>
      <c r="H22" s="11">
        <v>9.36</v>
      </c>
      <c r="J22" s="15"/>
      <c r="K22" s="15"/>
    </row>
    <row r="23" spans="1:11" ht="23">
      <c r="A23" s="12" t="s">
        <v>37</v>
      </c>
      <c r="B23" s="10">
        <v>84.73</v>
      </c>
      <c r="C23" s="16">
        <v>305126.93</v>
      </c>
      <c r="D23">
        <v>108.58499999999999</v>
      </c>
      <c r="E23" s="11">
        <v>4.16</v>
      </c>
      <c r="F23" s="14">
        <v>52</v>
      </c>
      <c r="G23" s="14">
        <v>0.28100000000000003</v>
      </c>
      <c r="H23" s="11">
        <v>9.17</v>
      </c>
      <c r="J23" s="15"/>
      <c r="K23" s="15"/>
    </row>
    <row r="24" spans="1:11" ht="23">
      <c r="A24" s="9" t="s">
        <v>38</v>
      </c>
      <c r="B24" s="10">
        <v>77.430000000000007</v>
      </c>
      <c r="C24" s="16">
        <v>889072.55</v>
      </c>
      <c r="D24">
        <v>108.21999999999998</v>
      </c>
      <c r="E24" s="11">
        <v>5.18</v>
      </c>
      <c r="F24" s="14">
        <v>71.8</v>
      </c>
      <c r="G24" s="14">
        <v>0.31</v>
      </c>
      <c r="H24" s="11">
        <v>10.3</v>
      </c>
      <c r="J24" s="15"/>
      <c r="K24" s="15"/>
    </row>
    <row r="25" spans="1:11" ht="23">
      <c r="A25" s="12" t="s">
        <v>39</v>
      </c>
      <c r="B25" s="10">
        <v>79.92</v>
      </c>
      <c r="C25" s="16">
        <v>156025.74</v>
      </c>
      <c r="D25">
        <v>106.86833333333333</v>
      </c>
      <c r="E25" s="11">
        <v>3.85</v>
      </c>
      <c r="F25" s="13">
        <v>71.8</v>
      </c>
      <c r="G25" s="14">
        <v>0.251</v>
      </c>
      <c r="H25" s="11">
        <v>9.69</v>
      </c>
      <c r="J25" s="15"/>
      <c r="K25" s="15"/>
    </row>
    <row r="26" spans="1:11" ht="23">
      <c r="A26" s="9" t="s">
        <v>40</v>
      </c>
      <c r="B26" s="10">
        <v>81.37</v>
      </c>
      <c r="C26" s="16">
        <v>204747.14</v>
      </c>
      <c r="D26">
        <v>108.21166666666664</v>
      </c>
      <c r="E26" s="11">
        <v>5.99</v>
      </c>
      <c r="F26" s="14">
        <v>59.2</v>
      </c>
      <c r="G26" s="14">
        <v>0.34100000000000003</v>
      </c>
      <c r="H26" s="11">
        <v>10.1</v>
      </c>
      <c r="J26" s="15"/>
      <c r="K26" s="15"/>
    </row>
    <row r="27" spans="1:11" ht="23">
      <c r="A27" s="12" t="s">
        <v>41</v>
      </c>
      <c r="B27" s="10">
        <v>89.03</v>
      </c>
      <c r="C27" s="16">
        <v>415477.22</v>
      </c>
      <c r="D27">
        <v>109.6675</v>
      </c>
      <c r="E27" s="11">
        <v>2.92</v>
      </c>
      <c r="F27" s="14">
        <v>34.200000000000003</v>
      </c>
      <c r="G27" s="14">
        <v>0.27700000000000002</v>
      </c>
      <c r="H27" s="11">
        <v>9.3800000000000008</v>
      </c>
      <c r="J27" s="15"/>
      <c r="K27" s="15"/>
    </row>
    <row r="28" spans="1:11" ht="23">
      <c r="A28" s="9" t="s">
        <v>42</v>
      </c>
      <c r="B28" s="10">
        <v>88.58</v>
      </c>
      <c r="C28" s="16">
        <v>753077.16</v>
      </c>
      <c r="D28">
        <v>107.93833333333333</v>
      </c>
      <c r="E28" s="11">
        <v>4.21</v>
      </c>
      <c r="F28" s="14">
        <v>49.8</v>
      </c>
      <c r="G28" s="14">
        <v>0.35</v>
      </c>
      <c r="H28" s="11">
        <v>9.3800000000000008</v>
      </c>
      <c r="J28" s="15"/>
      <c r="K28" s="15"/>
    </row>
    <row r="29" spans="1:11" ht="23">
      <c r="A29" s="12" t="s">
        <v>43</v>
      </c>
      <c r="B29" s="10">
        <v>91.41</v>
      </c>
      <c r="C29" s="16">
        <v>204333.57</v>
      </c>
      <c r="D29">
        <v>108.72416666666665</v>
      </c>
      <c r="E29" s="11">
        <v>3.31</v>
      </c>
      <c r="F29" s="14">
        <v>39.4</v>
      </c>
      <c r="G29" s="14">
        <v>0.35699999999999998</v>
      </c>
      <c r="H29" s="11">
        <v>9.9</v>
      </c>
      <c r="J29" s="15"/>
      <c r="K29" s="15"/>
    </row>
    <row r="30" spans="1:11" ht="15.5">
      <c r="A30" s="9" t="s">
        <v>44</v>
      </c>
      <c r="B30" s="10">
        <v>86.22</v>
      </c>
      <c r="C30" s="16">
        <v>58977.51</v>
      </c>
      <c r="D30">
        <v>107.78499999999998</v>
      </c>
      <c r="E30" s="11">
        <v>3.42</v>
      </c>
      <c r="F30" s="14">
        <v>48.9</v>
      </c>
      <c r="G30" s="14">
        <v>0.38300000000000001</v>
      </c>
      <c r="H30" s="11">
        <v>8.7799999999999994</v>
      </c>
      <c r="J30" s="15"/>
      <c r="K30" s="15"/>
    </row>
    <row r="31" spans="1:11" ht="23">
      <c r="A31" s="12" t="s">
        <v>45</v>
      </c>
      <c r="B31" s="10">
        <v>94.22</v>
      </c>
      <c r="C31" s="16">
        <v>71162.44</v>
      </c>
      <c r="D31">
        <v>108.395</v>
      </c>
      <c r="E31" s="11">
        <v>2.86</v>
      </c>
      <c r="F31" s="14">
        <v>23</v>
      </c>
      <c r="G31" s="14">
        <v>0.308</v>
      </c>
      <c r="H31" s="11">
        <v>8.91</v>
      </c>
      <c r="J31" s="15"/>
      <c r="K31" s="15"/>
    </row>
    <row r="32" spans="1:11" ht="15.5">
      <c r="A32" s="9" t="s">
        <v>46</v>
      </c>
      <c r="B32" s="10">
        <v>85.59</v>
      </c>
      <c r="C32" s="16">
        <v>66313.119999999995</v>
      </c>
      <c r="D32">
        <v>108.91666666666667</v>
      </c>
      <c r="E32" s="11">
        <v>6.27</v>
      </c>
      <c r="F32" s="14">
        <v>39.9</v>
      </c>
      <c r="G32" s="14">
        <v>0.27300000000000002</v>
      </c>
      <c r="H32" s="11">
        <v>10.63</v>
      </c>
      <c r="J32" s="15"/>
      <c r="K32" s="15"/>
    </row>
    <row r="33" spans="1:11" ht="23">
      <c r="A33" s="12" t="s">
        <v>47</v>
      </c>
      <c r="B33" s="10">
        <v>91.77</v>
      </c>
      <c r="C33" s="16">
        <v>133620.32</v>
      </c>
      <c r="D33">
        <v>109.12</v>
      </c>
      <c r="E33" s="11">
        <v>4.55</v>
      </c>
      <c r="F33" s="14">
        <v>29.2</v>
      </c>
      <c r="G33" s="14">
        <v>0.27500000000000002</v>
      </c>
      <c r="H33" s="11">
        <v>9.7799999999999994</v>
      </c>
      <c r="J33" s="15"/>
      <c r="K33" s="15"/>
    </row>
    <row r="34" spans="1:11" ht="23">
      <c r="A34" s="9" t="s">
        <v>48</v>
      </c>
      <c r="B34" s="10">
        <v>83.19</v>
      </c>
      <c r="C34" s="16">
        <v>81807.570000000007</v>
      </c>
      <c r="D34">
        <v>107.43</v>
      </c>
      <c r="E34" s="11">
        <v>4.55</v>
      </c>
      <c r="F34" s="14">
        <v>37.799999999999997</v>
      </c>
      <c r="G34" s="14">
        <v>0.38300000000000001</v>
      </c>
      <c r="H34" s="11">
        <v>9.9</v>
      </c>
      <c r="J34" s="15"/>
      <c r="K34" s="15"/>
    </row>
    <row r="35" spans="1:11" ht="15.5">
      <c r="A35" s="9" t="s">
        <v>50</v>
      </c>
      <c r="B35" s="11">
        <v>79.06</v>
      </c>
      <c r="C35" s="16">
        <v>90513.18</v>
      </c>
      <c r="D35">
        <v>105.57666666666667</v>
      </c>
      <c r="E35" s="11">
        <v>6.96</v>
      </c>
      <c r="F35" s="14">
        <v>34.200000000000003</v>
      </c>
      <c r="G35" s="14">
        <v>0.39700000000000002</v>
      </c>
      <c r="H35" s="11">
        <v>10.65</v>
      </c>
      <c r="J35" s="15"/>
      <c r="K35" s="15"/>
    </row>
    <row r="36" spans="1:11">
      <c r="D36" s="17"/>
    </row>
    <row r="37" spans="1:11" ht="15.5">
      <c r="D37" s="17"/>
      <c r="J37" s="15"/>
      <c r="K37" s="15"/>
    </row>
    <row r="38" spans="1:11" ht="15.5">
      <c r="D38" s="17"/>
      <c r="J38" s="15"/>
      <c r="K38" s="15"/>
    </row>
    <row r="39" spans="1:11" ht="15.5">
      <c r="D39" s="17"/>
      <c r="J39" s="15"/>
      <c r="K39" s="15"/>
    </row>
    <row r="40" spans="1:11">
      <c r="D4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workbookViewId="0">
      <pane ySplit="4" topLeftCell="A21" activePane="bottomLeft" state="frozen"/>
      <selection pane="bottomLeft" activeCell="E4" sqref="E4:I4"/>
    </sheetView>
  </sheetViews>
  <sheetFormatPr defaultColWidth="14.453125" defaultRowHeight="15" customHeight="1"/>
  <cols>
    <col min="1" max="1" width="5" customWidth="1"/>
    <col min="2" max="2" width="28" customWidth="1"/>
    <col min="3" max="3" width="14" customWidth="1"/>
    <col min="4" max="4" width="16" customWidth="1"/>
    <col min="5" max="5" width="15.26953125" customWidth="1"/>
    <col min="6" max="6" width="10" customWidth="1"/>
    <col min="7" max="7" width="14" customWidth="1"/>
    <col min="8" max="8" width="12" customWidth="1"/>
    <col min="9" max="9" width="14" customWidth="1"/>
    <col min="10" max="26" width="8.7265625" customWidth="1"/>
  </cols>
  <sheetData>
    <row r="1" spans="1:9" ht="27.75" customHeight="1">
      <c r="A1" s="33" t="s">
        <v>0</v>
      </c>
      <c r="B1" s="34"/>
      <c r="C1" s="34"/>
      <c r="D1" s="34"/>
      <c r="E1" s="34"/>
      <c r="F1" s="34"/>
      <c r="G1" s="34"/>
      <c r="H1" s="34"/>
      <c r="I1" s="32"/>
    </row>
    <row r="2" spans="1:9" ht="15.75" customHeight="1">
      <c r="A2" s="35" t="s">
        <v>1</v>
      </c>
      <c r="B2" s="34"/>
      <c r="C2" s="34"/>
      <c r="D2" s="34"/>
      <c r="E2" s="34"/>
      <c r="F2" s="34"/>
      <c r="G2" s="34"/>
      <c r="H2" s="34"/>
      <c r="I2" s="32"/>
    </row>
    <row r="3" spans="1:9" ht="1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42" customHeight="1">
      <c r="A4" s="19" t="s">
        <v>2</v>
      </c>
      <c r="B4" s="19" t="s">
        <v>3</v>
      </c>
      <c r="C4" s="19" t="s">
        <v>11</v>
      </c>
      <c r="D4" s="19" t="s">
        <v>71</v>
      </c>
      <c r="E4" s="19" t="s">
        <v>72</v>
      </c>
      <c r="F4" s="19" t="s">
        <v>12</v>
      </c>
      <c r="G4" s="19" t="s">
        <v>13</v>
      </c>
      <c r="H4" s="19" t="s">
        <v>14</v>
      </c>
      <c r="I4" s="19" t="s">
        <v>15</v>
      </c>
    </row>
    <row r="5" spans="1:9" ht="15.75" customHeight="1">
      <c r="A5" s="20">
        <v>1</v>
      </c>
      <c r="B5" s="21" t="s">
        <v>16</v>
      </c>
      <c r="C5" s="24">
        <v>85.21</v>
      </c>
      <c r="D5" s="25">
        <v>257502.43</v>
      </c>
      <c r="E5" s="26">
        <v>109.85166666666669</v>
      </c>
      <c r="F5" s="27">
        <v>5.64</v>
      </c>
      <c r="G5" s="28">
        <v>36.200000000000003</v>
      </c>
      <c r="H5" s="28">
        <v>0.27400000000000002</v>
      </c>
      <c r="I5" s="27">
        <v>10.42</v>
      </c>
    </row>
    <row r="6" spans="1:9" ht="15.75" customHeight="1">
      <c r="A6" s="22">
        <v>2</v>
      </c>
      <c r="B6" s="23" t="s">
        <v>17</v>
      </c>
      <c r="C6" s="24">
        <v>73.16</v>
      </c>
      <c r="D6" s="25">
        <v>1236193.57</v>
      </c>
      <c r="E6" s="26">
        <v>109.20666666666666</v>
      </c>
      <c r="F6" s="27">
        <v>5.32</v>
      </c>
      <c r="G6" s="28">
        <v>60.1</v>
      </c>
      <c r="H6" s="28">
        <v>0.28299999999999997</v>
      </c>
      <c r="I6" s="27">
        <v>10.29</v>
      </c>
    </row>
    <row r="7" spans="1:9" ht="15.75" customHeight="1">
      <c r="A7" s="20">
        <v>3</v>
      </c>
      <c r="B7" s="21" t="s">
        <v>18</v>
      </c>
      <c r="C7" s="24">
        <v>73.02</v>
      </c>
      <c r="D7" s="25">
        <v>352189.4</v>
      </c>
      <c r="E7" s="26">
        <v>109.33416666666666</v>
      </c>
      <c r="F7" s="27">
        <v>5.62</v>
      </c>
      <c r="G7" s="28">
        <v>54.6</v>
      </c>
      <c r="H7" s="28">
        <v>0.28000000000000003</v>
      </c>
      <c r="I7" s="27">
        <v>10.029999999999999</v>
      </c>
    </row>
    <row r="8" spans="1:9" ht="15.75" customHeight="1">
      <c r="A8" s="22">
        <v>4</v>
      </c>
      <c r="B8" s="23" t="s">
        <v>19</v>
      </c>
      <c r="C8" s="24">
        <v>78.69</v>
      </c>
      <c r="D8" s="25">
        <v>1201383.76</v>
      </c>
      <c r="E8" s="26">
        <v>109.32999999999998</v>
      </c>
      <c r="F8" s="27">
        <v>4.16</v>
      </c>
      <c r="G8" s="28">
        <v>40.700000000000003</v>
      </c>
      <c r="H8" s="28">
        <v>0.30399999999999999</v>
      </c>
      <c r="I8" s="27">
        <v>9.8000000000000007</v>
      </c>
    </row>
    <row r="9" spans="1:9" ht="15.75" customHeight="1">
      <c r="A9" s="20">
        <v>5</v>
      </c>
      <c r="B9" s="21" t="s">
        <v>20</v>
      </c>
      <c r="C9" s="24">
        <v>89.38</v>
      </c>
      <c r="D9" s="25">
        <v>349662.6</v>
      </c>
      <c r="E9" s="26">
        <v>108.49833333333332</v>
      </c>
      <c r="F9" s="27">
        <v>4.26</v>
      </c>
      <c r="G9" s="28">
        <v>34.799999999999997</v>
      </c>
      <c r="H9" s="28">
        <v>0.29099999999999998</v>
      </c>
      <c r="I9" s="27">
        <v>9.32</v>
      </c>
    </row>
    <row r="10" spans="1:9" ht="15.75" customHeight="1">
      <c r="A10" s="22">
        <v>6</v>
      </c>
      <c r="B10" s="23" t="s">
        <v>21</v>
      </c>
      <c r="C10" s="24">
        <v>85.93</v>
      </c>
      <c r="D10" s="25">
        <v>720205.22</v>
      </c>
      <c r="E10" s="26">
        <v>108.73916666666666</v>
      </c>
      <c r="F10" s="27">
        <v>3.69</v>
      </c>
      <c r="G10" s="28">
        <v>38.200000000000003</v>
      </c>
      <c r="H10" s="28">
        <v>0.29799999999999999</v>
      </c>
      <c r="I10" s="27">
        <v>9.2799999999999994</v>
      </c>
    </row>
    <row r="11" spans="1:9" ht="15.75" customHeight="1">
      <c r="A11" s="20">
        <v>7</v>
      </c>
      <c r="B11" s="21" t="s">
        <v>22</v>
      </c>
      <c r="C11" s="24">
        <v>90.49</v>
      </c>
      <c r="D11" s="25">
        <v>111829.42</v>
      </c>
      <c r="E11" s="26">
        <v>107.12333333333335</v>
      </c>
      <c r="F11" s="27">
        <v>3.41</v>
      </c>
      <c r="G11" s="28">
        <v>33.5</v>
      </c>
      <c r="H11" s="28">
        <v>0.33900000000000002</v>
      </c>
      <c r="I11" s="27">
        <v>9.7100000000000009</v>
      </c>
    </row>
    <row r="12" spans="1:9" ht="15.75" customHeight="1">
      <c r="A12" s="22">
        <v>8</v>
      </c>
      <c r="B12" s="23" t="s">
        <v>23</v>
      </c>
      <c r="C12" s="24">
        <v>92.89</v>
      </c>
      <c r="D12" s="25">
        <v>523846.54</v>
      </c>
      <c r="E12" s="26">
        <v>108.99833333333335</v>
      </c>
      <c r="F12" s="27">
        <v>4.21</v>
      </c>
      <c r="G12" s="28">
        <v>34.6</v>
      </c>
      <c r="H12" s="28">
        <v>0.28699999999999998</v>
      </c>
      <c r="I12" s="27">
        <v>9</v>
      </c>
    </row>
    <row r="13" spans="1:9" ht="15.75" customHeight="1">
      <c r="A13" s="20">
        <v>9</v>
      </c>
      <c r="B13" s="21" t="s">
        <v>24</v>
      </c>
      <c r="C13" s="24">
        <v>89.73</v>
      </c>
      <c r="D13" s="25">
        <v>116811.75</v>
      </c>
      <c r="E13" s="26">
        <v>105.3625</v>
      </c>
      <c r="F13" s="27">
        <v>4.45</v>
      </c>
      <c r="G13" s="28">
        <v>59.7</v>
      </c>
      <c r="H13" s="28">
        <v>0.214</v>
      </c>
      <c r="I13" s="27">
        <v>9.09</v>
      </c>
    </row>
    <row r="14" spans="1:9" ht="15.75" customHeight="1">
      <c r="A14" s="22">
        <v>10</v>
      </c>
      <c r="B14" s="23" t="s">
        <v>25</v>
      </c>
      <c r="C14" s="24">
        <v>75.400000000000006</v>
      </c>
      <c r="D14" s="25">
        <v>381729.88</v>
      </c>
      <c r="E14" s="26">
        <v>108.75499999999998</v>
      </c>
      <c r="F14" s="27">
        <v>6.45</v>
      </c>
      <c r="G14" s="28">
        <v>83.8</v>
      </c>
      <c r="H14" s="28">
        <v>0.38500000000000001</v>
      </c>
      <c r="I14" s="27">
        <v>10.78</v>
      </c>
    </row>
    <row r="15" spans="1:9" ht="15.75" customHeight="1">
      <c r="A15" s="20">
        <v>11</v>
      </c>
      <c r="B15" s="21" t="s">
        <v>26</v>
      </c>
      <c r="C15" s="24">
        <v>54.54</v>
      </c>
      <c r="D15" s="25">
        <v>3926153.3</v>
      </c>
      <c r="E15" s="26">
        <v>106.85333333333331</v>
      </c>
      <c r="F15" s="27">
        <v>6.05</v>
      </c>
      <c r="G15" s="28">
        <v>100</v>
      </c>
      <c r="H15" s="28">
        <v>0.42299999999999999</v>
      </c>
      <c r="I15" s="27">
        <v>11.58</v>
      </c>
    </row>
    <row r="16" spans="1:9" ht="15.75" customHeight="1">
      <c r="A16" s="22">
        <v>12</v>
      </c>
      <c r="B16" s="23" t="s">
        <v>27</v>
      </c>
      <c r="C16" s="24">
        <v>83.54</v>
      </c>
      <c r="D16" s="25">
        <v>3038667.95</v>
      </c>
      <c r="E16" s="26">
        <v>108.51</v>
      </c>
      <c r="F16" s="27">
        <v>6.77</v>
      </c>
      <c r="G16" s="28">
        <v>83.1</v>
      </c>
      <c r="H16" s="28">
        <v>0.39700000000000002</v>
      </c>
      <c r="I16" s="27">
        <v>9.4600000000000009</v>
      </c>
    </row>
    <row r="17" spans="1:9" ht="15.75" customHeight="1">
      <c r="A17" s="20">
        <v>13</v>
      </c>
      <c r="B17" s="21" t="s">
        <v>28</v>
      </c>
      <c r="C17" s="24">
        <v>90.97</v>
      </c>
      <c r="D17" s="25">
        <v>1943187.66</v>
      </c>
      <c r="E17" s="26">
        <v>108.30500000000001</v>
      </c>
      <c r="F17" s="27">
        <v>4.66</v>
      </c>
      <c r="G17" s="28">
        <v>54.3</v>
      </c>
      <c r="H17" s="28">
        <v>0.35</v>
      </c>
      <c r="I17" s="27">
        <v>8.6199999999999992</v>
      </c>
    </row>
    <row r="18" spans="1:9" ht="15.75" customHeight="1">
      <c r="A18" s="22">
        <v>14</v>
      </c>
      <c r="B18" s="23" t="s">
        <v>29</v>
      </c>
      <c r="C18" s="24">
        <v>83.54</v>
      </c>
      <c r="D18" s="25">
        <v>208133.8</v>
      </c>
      <c r="E18" s="26">
        <v>108.07250000000001</v>
      </c>
      <c r="F18" s="27">
        <v>3.46</v>
      </c>
      <c r="G18" s="28">
        <v>78</v>
      </c>
      <c r="H18" s="28">
        <v>0.41399999999999998</v>
      </c>
      <c r="I18" s="27">
        <v>10.58</v>
      </c>
    </row>
    <row r="19" spans="1:9" ht="15.75" customHeight="1">
      <c r="A19" s="20">
        <v>15</v>
      </c>
      <c r="B19" s="21" t="s">
        <v>30</v>
      </c>
      <c r="C19" s="24">
        <v>90.86</v>
      </c>
      <c r="D19" s="25">
        <v>3403166.85</v>
      </c>
      <c r="E19" s="26">
        <v>108.33999999999999</v>
      </c>
      <c r="F19" s="27">
        <v>3.88</v>
      </c>
      <c r="G19" s="28">
        <v>58.6</v>
      </c>
      <c r="H19" s="28">
        <v>0.35899999999999999</v>
      </c>
      <c r="I19" s="27">
        <v>8.81</v>
      </c>
    </row>
    <row r="20" spans="1:9" ht="15.75" customHeight="1">
      <c r="A20" s="22">
        <v>16</v>
      </c>
      <c r="B20" s="23" t="s">
        <v>31</v>
      </c>
      <c r="C20" s="24">
        <v>86.67</v>
      </c>
      <c r="D20" s="25">
        <v>936203.98</v>
      </c>
      <c r="E20" s="26">
        <v>107.64749999999999</v>
      </c>
      <c r="F20" s="27">
        <v>6.69</v>
      </c>
      <c r="G20" s="28">
        <v>73.7</v>
      </c>
      <c r="H20" s="28">
        <v>0.312</v>
      </c>
      <c r="I20" s="27">
        <v>9.82</v>
      </c>
    </row>
    <row r="21" spans="1:9" ht="15.75" customHeight="1">
      <c r="A21" s="20">
        <v>17</v>
      </c>
      <c r="B21" s="21" t="s">
        <v>32</v>
      </c>
      <c r="C21" s="24">
        <v>83.73</v>
      </c>
      <c r="D21" s="25">
        <v>324148.94</v>
      </c>
      <c r="E21" s="26">
        <v>109.42416666666666</v>
      </c>
      <c r="F21" s="27">
        <v>1.49</v>
      </c>
      <c r="G21" s="28">
        <v>74.3</v>
      </c>
      <c r="H21" s="28">
        <v>0.33300000000000002</v>
      </c>
      <c r="I21" s="27">
        <v>10.07</v>
      </c>
    </row>
    <row r="22" spans="1:9" ht="15.75" customHeight="1">
      <c r="A22" s="22">
        <v>18</v>
      </c>
      <c r="B22" s="23" t="s">
        <v>33</v>
      </c>
      <c r="C22" s="24">
        <v>91.97</v>
      </c>
      <c r="D22" s="25">
        <v>192951.54</v>
      </c>
      <c r="E22" s="26">
        <v>108.395</v>
      </c>
      <c r="F22" s="27">
        <v>3.06</v>
      </c>
      <c r="G22" s="28">
        <v>53.6</v>
      </c>
      <c r="H22" s="28">
        <v>0.36399999999999999</v>
      </c>
      <c r="I22" s="27">
        <v>8.8699999999999992</v>
      </c>
    </row>
    <row r="23" spans="1:9" ht="15.75" customHeight="1">
      <c r="A23" s="20">
        <v>19</v>
      </c>
      <c r="B23" s="21" t="s">
        <v>34</v>
      </c>
      <c r="C23" s="24">
        <v>91.72</v>
      </c>
      <c r="D23" s="25">
        <v>148373.38</v>
      </c>
      <c r="E23" s="26">
        <v>107.66916666666667</v>
      </c>
      <c r="F23" s="27">
        <v>3.31</v>
      </c>
      <c r="G23" s="28">
        <v>27.3</v>
      </c>
      <c r="H23" s="28">
        <v>0.32200000000000001</v>
      </c>
      <c r="I23" s="27">
        <v>8.8800000000000008</v>
      </c>
    </row>
    <row r="24" spans="1:9" ht="15.75" customHeight="1">
      <c r="A24" s="22">
        <v>20</v>
      </c>
      <c r="B24" s="23" t="s">
        <v>35</v>
      </c>
      <c r="C24" s="24">
        <v>92.28</v>
      </c>
      <c r="D24" s="25">
        <v>328569.51</v>
      </c>
      <c r="E24" s="26">
        <v>107.55166666666666</v>
      </c>
      <c r="F24" s="27">
        <v>4.82</v>
      </c>
      <c r="G24" s="28">
        <v>39.799999999999997</v>
      </c>
      <c r="H24" s="28">
        <v>0.308</v>
      </c>
      <c r="I24" s="27">
        <v>8.5399999999999991</v>
      </c>
    </row>
    <row r="25" spans="1:9" ht="15.75" customHeight="1">
      <c r="A25" s="20">
        <v>21</v>
      </c>
      <c r="B25" s="21" t="s">
        <v>36</v>
      </c>
      <c r="C25" s="24">
        <v>83.36</v>
      </c>
      <c r="D25" s="25">
        <v>241055.7</v>
      </c>
      <c r="E25" s="26">
        <v>107.81083333333333</v>
      </c>
      <c r="F25" s="27">
        <v>3.97</v>
      </c>
      <c r="G25" s="28">
        <v>44.1</v>
      </c>
      <c r="H25" s="28">
        <v>0.28399999999999997</v>
      </c>
      <c r="I25" s="27">
        <v>9.36</v>
      </c>
    </row>
    <row r="26" spans="1:9" ht="15.75" customHeight="1">
      <c r="A26" s="22">
        <v>22</v>
      </c>
      <c r="B26" s="23" t="s">
        <v>37</v>
      </c>
      <c r="C26" s="24">
        <v>84.73</v>
      </c>
      <c r="D26" s="25">
        <v>305126.93</v>
      </c>
      <c r="E26" s="26">
        <v>108.58499999999999</v>
      </c>
      <c r="F26" s="27">
        <v>4.16</v>
      </c>
      <c r="G26" s="28">
        <v>52</v>
      </c>
      <c r="H26" s="28">
        <v>0.28100000000000003</v>
      </c>
      <c r="I26" s="27">
        <v>9.17</v>
      </c>
    </row>
    <row r="27" spans="1:9" ht="15.75" customHeight="1">
      <c r="A27" s="20">
        <v>23</v>
      </c>
      <c r="B27" s="21" t="s">
        <v>38</v>
      </c>
      <c r="C27" s="24">
        <v>77.430000000000007</v>
      </c>
      <c r="D27" s="25">
        <v>889072.55</v>
      </c>
      <c r="E27" s="26">
        <v>108.21999999999998</v>
      </c>
      <c r="F27" s="27">
        <v>5.18</v>
      </c>
      <c r="G27" s="28">
        <v>71.8</v>
      </c>
      <c r="H27" s="28">
        <v>0.31</v>
      </c>
      <c r="I27" s="27">
        <v>10.3</v>
      </c>
    </row>
    <row r="28" spans="1:9" ht="15.75" customHeight="1">
      <c r="A28" s="22">
        <v>24</v>
      </c>
      <c r="B28" s="23" t="s">
        <v>39</v>
      </c>
      <c r="C28" s="24">
        <v>79.92</v>
      </c>
      <c r="D28" s="25">
        <v>156025.74</v>
      </c>
      <c r="E28" s="26">
        <v>106.86833333333333</v>
      </c>
      <c r="F28" s="27">
        <v>3.85</v>
      </c>
      <c r="G28" s="27">
        <v>71.8</v>
      </c>
      <c r="H28" s="28">
        <v>0.251</v>
      </c>
      <c r="I28" s="27">
        <v>9.69</v>
      </c>
    </row>
    <row r="29" spans="1:9" ht="15.75" customHeight="1">
      <c r="A29" s="20">
        <v>25</v>
      </c>
      <c r="B29" s="21" t="s">
        <v>40</v>
      </c>
      <c r="C29" s="24">
        <v>81.37</v>
      </c>
      <c r="D29" s="25">
        <v>204747.14</v>
      </c>
      <c r="E29" s="26">
        <v>108.21166666666664</v>
      </c>
      <c r="F29" s="27">
        <v>5.99</v>
      </c>
      <c r="G29" s="28">
        <v>59.2</v>
      </c>
      <c r="H29" s="28">
        <v>0.34100000000000003</v>
      </c>
      <c r="I29" s="27">
        <v>10.1</v>
      </c>
    </row>
    <row r="30" spans="1:9" ht="15.75" customHeight="1">
      <c r="A30" s="22">
        <v>26</v>
      </c>
      <c r="B30" s="23" t="s">
        <v>41</v>
      </c>
      <c r="C30" s="24">
        <v>89.03</v>
      </c>
      <c r="D30" s="25">
        <v>415477.22</v>
      </c>
      <c r="E30" s="26">
        <v>109.6675</v>
      </c>
      <c r="F30" s="27">
        <v>2.92</v>
      </c>
      <c r="G30" s="28">
        <v>34.200000000000003</v>
      </c>
      <c r="H30" s="28">
        <v>0.27700000000000002</v>
      </c>
      <c r="I30" s="27">
        <v>9.3800000000000008</v>
      </c>
    </row>
    <row r="31" spans="1:9" ht="15.75" customHeight="1">
      <c r="A31" s="20">
        <v>27</v>
      </c>
      <c r="B31" s="21" t="s">
        <v>42</v>
      </c>
      <c r="C31" s="24">
        <v>88.58</v>
      </c>
      <c r="D31" s="25">
        <v>753077.16</v>
      </c>
      <c r="E31" s="26">
        <v>107.93833333333333</v>
      </c>
      <c r="F31" s="27">
        <v>4.21</v>
      </c>
      <c r="G31" s="28">
        <v>49.8</v>
      </c>
      <c r="H31" s="28">
        <v>0.35</v>
      </c>
      <c r="I31" s="27">
        <v>9.3800000000000008</v>
      </c>
    </row>
    <row r="32" spans="1:9" ht="15.75" customHeight="1">
      <c r="A32" s="22">
        <v>28</v>
      </c>
      <c r="B32" s="23" t="s">
        <v>43</v>
      </c>
      <c r="C32" s="24">
        <v>91.41</v>
      </c>
      <c r="D32" s="25">
        <v>204333.57</v>
      </c>
      <c r="E32" s="26">
        <v>108.72416666666665</v>
      </c>
      <c r="F32" s="27">
        <v>3.31</v>
      </c>
      <c r="G32" s="28">
        <v>39.4</v>
      </c>
      <c r="H32" s="28">
        <v>0.35699999999999998</v>
      </c>
      <c r="I32" s="27">
        <v>9.9</v>
      </c>
    </row>
    <row r="33" spans="1:9" ht="15.75" customHeight="1">
      <c r="A33" s="20">
        <v>29</v>
      </c>
      <c r="B33" s="21" t="s">
        <v>44</v>
      </c>
      <c r="C33" s="24">
        <v>86.22</v>
      </c>
      <c r="D33" s="25">
        <v>58977.51</v>
      </c>
      <c r="E33" s="26">
        <v>107.78499999999998</v>
      </c>
      <c r="F33" s="27">
        <v>3.42</v>
      </c>
      <c r="G33" s="28">
        <v>48.9</v>
      </c>
      <c r="H33" s="28">
        <v>0.38300000000000001</v>
      </c>
      <c r="I33" s="27">
        <v>8.7799999999999994</v>
      </c>
    </row>
    <row r="34" spans="1:9" ht="15.75" customHeight="1">
      <c r="A34" s="22">
        <v>30</v>
      </c>
      <c r="B34" s="23" t="s">
        <v>45</v>
      </c>
      <c r="C34" s="24">
        <v>94.22</v>
      </c>
      <c r="D34" s="25">
        <v>71162.44</v>
      </c>
      <c r="E34" s="26">
        <v>108.395</v>
      </c>
      <c r="F34" s="27">
        <v>2.86</v>
      </c>
      <c r="G34" s="28">
        <v>23</v>
      </c>
      <c r="H34" s="28">
        <v>0.308</v>
      </c>
      <c r="I34" s="27">
        <v>8.91</v>
      </c>
    </row>
    <row r="35" spans="1:9" ht="15.75" customHeight="1">
      <c r="A35" s="20">
        <v>31</v>
      </c>
      <c r="B35" s="21" t="s">
        <v>46</v>
      </c>
      <c r="C35" s="24">
        <v>85.59</v>
      </c>
      <c r="D35" s="25">
        <v>66313.119999999995</v>
      </c>
      <c r="E35" s="26">
        <v>108.91666666666667</v>
      </c>
      <c r="F35" s="27">
        <v>6.27</v>
      </c>
      <c r="G35" s="28">
        <v>39.9</v>
      </c>
      <c r="H35" s="28">
        <v>0.27300000000000002</v>
      </c>
      <c r="I35" s="27">
        <v>10.63</v>
      </c>
    </row>
    <row r="36" spans="1:9" ht="15.75" customHeight="1">
      <c r="A36" s="22">
        <v>32</v>
      </c>
      <c r="B36" s="23" t="s">
        <v>47</v>
      </c>
      <c r="C36" s="24">
        <v>91.77</v>
      </c>
      <c r="D36" s="25">
        <v>133620.32</v>
      </c>
      <c r="E36" s="26">
        <v>109.12</v>
      </c>
      <c r="F36" s="27">
        <v>4.55</v>
      </c>
      <c r="G36" s="28">
        <v>29.2</v>
      </c>
      <c r="H36" s="28">
        <v>0.27500000000000002</v>
      </c>
      <c r="I36" s="27">
        <v>9.7799999999999994</v>
      </c>
    </row>
    <row r="37" spans="1:9" ht="15.75" customHeight="1">
      <c r="A37" s="20">
        <v>33</v>
      </c>
      <c r="B37" s="21" t="s">
        <v>48</v>
      </c>
      <c r="C37" s="24">
        <v>83.19</v>
      </c>
      <c r="D37" s="25">
        <v>81807.570000000007</v>
      </c>
      <c r="E37" s="26">
        <v>107.43</v>
      </c>
      <c r="F37" s="27">
        <v>4.55</v>
      </c>
      <c r="G37" s="28">
        <v>37.799999999999997</v>
      </c>
      <c r="H37" s="28">
        <v>0.38300000000000001</v>
      </c>
      <c r="I37" s="27">
        <v>9.9</v>
      </c>
    </row>
    <row r="38" spans="1:9" ht="15.75" customHeight="1">
      <c r="A38" s="22">
        <v>34</v>
      </c>
      <c r="B38" s="23" t="s">
        <v>49</v>
      </c>
      <c r="C38" s="27">
        <v>83.17</v>
      </c>
      <c r="D38" s="25">
        <v>90513.18</v>
      </c>
      <c r="E38" s="26">
        <v>105.57666666666667</v>
      </c>
      <c r="F38" s="27">
        <v>6.85</v>
      </c>
      <c r="G38" s="28">
        <v>37.799999999999997</v>
      </c>
      <c r="H38" s="28">
        <v>0.36099999999999999</v>
      </c>
      <c r="I38" s="27">
        <v>10.6</v>
      </c>
    </row>
    <row r="39" spans="1:9" ht="15.75" customHeight="1">
      <c r="A39" s="20">
        <v>35</v>
      </c>
      <c r="B39" s="21" t="s">
        <v>50</v>
      </c>
      <c r="C39" s="27">
        <v>79.06</v>
      </c>
      <c r="D39" s="27">
        <v>84.305000000000007</v>
      </c>
      <c r="E39" s="27">
        <v>136.79</v>
      </c>
      <c r="F39" s="27">
        <v>6.96</v>
      </c>
      <c r="G39" s="28">
        <v>34.200000000000003</v>
      </c>
      <c r="H39" s="28">
        <v>0.39700000000000002</v>
      </c>
      <c r="I39" s="27">
        <v>10.65</v>
      </c>
    </row>
    <row r="40" spans="1:9" ht="15.75" customHeight="1">
      <c r="A40" s="22">
        <v>36</v>
      </c>
      <c r="B40" s="23" t="s">
        <v>51</v>
      </c>
      <c r="C40" s="27">
        <v>78.06</v>
      </c>
      <c r="D40" s="27">
        <v>64.927999999999997</v>
      </c>
      <c r="E40" s="27">
        <v>146.30000000000001</v>
      </c>
      <c r="F40" s="27">
        <v>4.04</v>
      </c>
      <c r="G40" s="27">
        <v>34.200000000000003</v>
      </c>
      <c r="H40" s="28">
        <v>0.42599999999999999</v>
      </c>
      <c r="I40" s="27">
        <v>8.8699999999999992</v>
      </c>
    </row>
    <row r="41" spans="1:9" ht="15.75" customHeight="1">
      <c r="A41" s="20">
        <v>37</v>
      </c>
      <c r="B41" s="21" t="s">
        <v>52</v>
      </c>
      <c r="C41" s="27">
        <v>90.03</v>
      </c>
      <c r="D41" s="27">
        <v>107.566</v>
      </c>
      <c r="E41" s="27">
        <v>203.6</v>
      </c>
      <c r="F41" s="27">
        <v>3.62</v>
      </c>
      <c r="G41" s="27">
        <v>34.200000000000003</v>
      </c>
      <c r="H41" s="28">
        <v>0.34</v>
      </c>
      <c r="I41" s="27">
        <v>6.27</v>
      </c>
    </row>
    <row r="42" spans="1:9" ht="15.75" customHeight="1">
      <c r="A42" s="22">
        <v>38</v>
      </c>
      <c r="B42" s="23" t="s">
        <v>53</v>
      </c>
      <c r="C42" s="24">
        <v>96.61</v>
      </c>
      <c r="D42" s="27">
        <v>19.111000000000001</v>
      </c>
      <c r="E42" s="27">
        <v>241.52</v>
      </c>
      <c r="F42" s="27">
        <v>1.68</v>
      </c>
      <c r="G42" s="27">
        <v>34.200000000000003</v>
      </c>
      <c r="H42" s="28">
        <v>0.34699999999999998</v>
      </c>
      <c r="I42" s="27">
        <v>4.76</v>
      </c>
    </row>
    <row r="43" spans="1:9" ht="15.75" customHeight="1"/>
    <row r="44" spans="1:9" ht="15.75" customHeight="1">
      <c r="A44" s="31" t="s">
        <v>54</v>
      </c>
      <c r="B44" s="32"/>
      <c r="C44" s="2">
        <f t="shared" ref="C44:I44" si="0">MIN(C5:C42)</f>
        <v>54.54</v>
      </c>
      <c r="D44" s="2">
        <f t="shared" si="0"/>
        <v>19.111000000000001</v>
      </c>
      <c r="E44" s="2">
        <f t="shared" si="0"/>
        <v>105.3625</v>
      </c>
      <c r="F44" s="2">
        <f t="shared" si="0"/>
        <v>1.49</v>
      </c>
      <c r="G44" s="2">
        <f t="shared" si="0"/>
        <v>23</v>
      </c>
      <c r="H44" s="2">
        <f t="shared" si="0"/>
        <v>0.214</v>
      </c>
      <c r="I44" s="2">
        <f t="shared" si="0"/>
        <v>4.76</v>
      </c>
    </row>
    <row r="45" spans="1:9" ht="15.75" customHeight="1">
      <c r="A45" s="31" t="s">
        <v>55</v>
      </c>
      <c r="B45" s="32"/>
      <c r="C45" s="2">
        <f t="shared" ref="C45:I45" si="1">MAX(C5:C42)</f>
        <v>96.61</v>
      </c>
      <c r="D45" s="2">
        <f t="shared" si="1"/>
        <v>3926153.3</v>
      </c>
      <c r="E45" s="2">
        <f t="shared" si="1"/>
        <v>241.52</v>
      </c>
      <c r="F45" s="2">
        <f t="shared" si="1"/>
        <v>6.96</v>
      </c>
      <c r="G45" s="2">
        <f t="shared" si="1"/>
        <v>100</v>
      </c>
      <c r="H45" s="2">
        <f t="shared" si="1"/>
        <v>0.42599999999999999</v>
      </c>
      <c r="I45" s="2">
        <f t="shared" si="1"/>
        <v>11.58</v>
      </c>
    </row>
    <row r="46" spans="1:9" ht="15.75" customHeight="1">
      <c r="A46" s="31" t="s">
        <v>56</v>
      </c>
      <c r="B46" s="32"/>
      <c r="C46" s="2">
        <f t="shared" ref="C46:I46" si="2">AVERAGE(C5:C42)</f>
        <v>84.933421052631573</v>
      </c>
      <c r="D46" s="2">
        <f t="shared" si="2"/>
        <v>615065.72473684233</v>
      </c>
      <c r="E46" s="2">
        <f t="shared" si="2"/>
        <v>115.98491228070176</v>
      </c>
      <c r="F46" s="2">
        <f t="shared" si="2"/>
        <v>4.4681578947368426</v>
      </c>
      <c r="G46" s="2">
        <f t="shared" si="2"/>
        <v>49.857894736842105</v>
      </c>
      <c r="H46" s="2">
        <f t="shared" si="2"/>
        <v>0.32844736842105265</v>
      </c>
      <c r="I46" s="2">
        <f t="shared" si="2"/>
        <v>9.4573684210526281</v>
      </c>
    </row>
    <row r="47" spans="1:9" ht="15.75" customHeight="1">
      <c r="A47" s="31" t="s">
        <v>57</v>
      </c>
      <c r="B47" s="32"/>
      <c r="C47" s="2">
        <f t="shared" ref="C47:I47" si="3">STDEV(C5:C42)</f>
        <v>7.8078374610338281</v>
      </c>
      <c r="D47" s="2">
        <f t="shared" si="3"/>
        <v>943059.2223750815</v>
      </c>
      <c r="E47" s="2">
        <f t="shared" si="3"/>
        <v>26.951584212178506</v>
      </c>
      <c r="F47" s="2">
        <f t="shared" si="3"/>
        <v>1.3812858389884541</v>
      </c>
      <c r="G47" s="2">
        <f t="shared" si="3"/>
        <v>18.57719659383288</v>
      </c>
      <c r="H47" s="2">
        <f t="shared" si="3"/>
        <v>5.0805776096616011E-2</v>
      </c>
      <c r="I47" s="2">
        <f t="shared" si="3"/>
        <v>1.1899799775979416</v>
      </c>
    </row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7:B47"/>
    <mergeCell ref="A1:I1"/>
    <mergeCell ref="A2:I2"/>
    <mergeCell ref="A44:B44"/>
    <mergeCell ref="A45:B45"/>
    <mergeCell ref="A46:B46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topLeftCell="A2" workbookViewId="0">
      <selection activeCell="D5" sqref="D5"/>
    </sheetView>
  </sheetViews>
  <sheetFormatPr defaultColWidth="14.453125" defaultRowHeight="15" customHeight="1"/>
  <cols>
    <col min="1" max="1" width="10" customWidth="1"/>
    <col min="2" max="2" width="24" customWidth="1"/>
    <col min="3" max="3" width="85" customWidth="1"/>
    <col min="4" max="24" width="8.7265625" customWidth="1"/>
  </cols>
  <sheetData>
    <row r="1" spans="1:3" ht="25.5" customHeight="1">
      <c r="A1" s="33" t="s">
        <v>58</v>
      </c>
      <c r="B1" s="34"/>
      <c r="C1" s="32"/>
    </row>
    <row r="2" spans="1:3" ht="14.5">
      <c r="A2" s="1" t="s">
        <v>59</v>
      </c>
      <c r="B2" s="1" t="s">
        <v>60</v>
      </c>
      <c r="C2" s="1" t="s">
        <v>61</v>
      </c>
    </row>
    <row r="3" spans="1:3" ht="42" customHeight="1">
      <c r="A3" s="3" t="s">
        <v>4</v>
      </c>
      <c r="B3" s="4" t="s">
        <v>62</v>
      </c>
      <c r="C3" s="5" t="s">
        <v>63</v>
      </c>
    </row>
    <row r="4" spans="1:3" ht="42" customHeight="1">
      <c r="A4" s="3" t="s">
        <v>5</v>
      </c>
      <c r="B4" s="6" t="s">
        <v>76</v>
      </c>
      <c r="C4" s="30" t="s">
        <v>74</v>
      </c>
    </row>
    <row r="5" spans="1:3" ht="42" customHeight="1">
      <c r="A5" s="3" t="s">
        <v>6</v>
      </c>
      <c r="B5" s="4" t="s">
        <v>75</v>
      </c>
      <c r="C5" s="29" t="s">
        <v>73</v>
      </c>
    </row>
    <row r="6" spans="1:3" ht="42" customHeight="1">
      <c r="A6" s="3" t="s">
        <v>7</v>
      </c>
      <c r="B6" s="6" t="s">
        <v>64</v>
      </c>
      <c r="C6" s="7" t="s">
        <v>65</v>
      </c>
    </row>
    <row r="7" spans="1:3" ht="42" customHeight="1">
      <c r="A7" s="3" t="s">
        <v>8</v>
      </c>
      <c r="B7" s="4" t="s">
        <v>66</v>
      </c>
      <c r="C7" s="5" t="s">
        <v>67</v>
      </c>
    </row>
    <row r="8" spans="1:3" ht="42" customHeight="1">
      <c r="A8" s="3" t="s">
        <v>9</v>
      </c>
      <c r="B8" s="6" t="s">
        <v>14</v>
      </c>
      <c r="C8" s="7" t="s">
        <v>68</v>
      </c>
    </row>
    <row r="9" spans="1:3" ht="42" customHeight="1">
      <c r="A9" s="3" t="s">
        <v>10</v>
      </c>
      <c r="B9" s="4" t="s">
        <v>69</v>
      </c>
      <c r="C9" s="5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analisis</vt:lpstr>
      <vt:lpstr>DATA</vt:lpstr>
      <vt:lpstr>PANDUAN_SUMBER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Annisa</cp:lastModifiedBy>
  <dcterms:created xsi:type="dcterms:W3CDTF">2026-05-02T08:52:53Z</dcterms:created>
  <dcterms:modified xsi:type="dcterms:W3CDTF">2026-06-26T09:34:19Z</dcterms:modified>
</cp:coreProperties>
</file>